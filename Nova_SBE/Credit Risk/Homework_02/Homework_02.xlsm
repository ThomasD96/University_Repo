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F:\Uni\02_Master\02_Nova SBE\02_courses\semester_2\T4\Credit Risk\03_assignments\HW_2\assignment_2021\"/>
    </mc:Choice>
  </mc:AlternateContent>
  <xr:revisionPtr revIDLastSave="0" documentId="13_ncr:1_{D4F01859-C6D5-476F-8297-81728630E226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Cover" sheetId="5" r:id="rId1"/>
    <sheet name="Exercise_01" sheetId="1" r:id="rId2"/>
    <sheet name="Exercise_02" sheetId="3" r:id="rId3"/>
    <sheet name="Exercise_03" sheetId="4" r:id="rId4"/>
  </sheets>
  <definedNames>
    <definedName name="solver_adj" localSheetId="1" hidden="1">Exercise_01!#REF!</definedName>
    <definedName name="solver_adj" localSheetId="2" hidden="1">Exercise_02!$C$3:$C$5</definedName>
    <definedName name="solver_cvg" localSheetId="1" hidden="1">"""0,0001"""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"""0,075"""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2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0</definedName>
    <definedName name="solver_nwt" localSheetId="1" hidden="1">1</definedName>
    <definedName name="solver_nwt" localSheetId="2" hidden="1">1</definedName>
    <definedName name="solver_opt" localSheetId="1" hidden="1">Exercise_01!#REF!</definedName>
    <definedName name="solver_opt" localSheetId="2" hidden="1">Exercise_02!$I$31</definedName>
    <definedName name="solver_pre" localSheetId="1" hidden="1">"""0,000001"""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1</definedName>
    <definedName name="solver_typ" localSheetId="2" hidden="1">1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" i="3" l="1"/>
  <c r="C6" i="4" l="1"/>
  <c r="C7" i="4"/>
  <c r="C5" i="4"/>
  <c r="F9" i="3"/>
  <c r="G9" i="3" s="1"/>
  <c r="H9" i="3" s="1"/>
  <c r="F10" i="3"/>
  <c r="G10" i="3" s="1"/>
  <c r="H10" i="3" s="1"/>
  <c r="F11" i="3"/>
  <c r="G11" i="3" s="1"/>
  <c r="H11" i="3" s="1"/>
  <c r="F12" i="3"/>
  <c r="G12" i="3" s="1"/>
  <c r="H12" i="3" s="1"/>
  <c r="F13" i="3"/>
  <c r="G13" i="3" s="1"/>
  <c r="H13" i="3" s="1"/>
  <c r="F14" i="3"/>
  <c r="G14" i="3" s="1"/>
  <c r="H14" i="3" s="1"/>
  <c r="F15" i="3"/>
  <c r="G15" i="3" s="1"/>
  <c r="H15" i="3" s="1"/>
  <c r="F16" i="3"/>
  <c r="G16" i="3" s="1"/>
  <c r="H16" i="3" s="1"/>
  <c r="F17" i="3"/>
  <c r="G17" i="3" s="1"/>
  <c r="H17" i="3" s="1"/>
  <c r="F18" i="3"/>
  <c r="G18" i="3" s="1"/>
  <c r="H18" i="3" s="1"/>
  <c r="F19" i="3"/>
  <c r="G19" i="3" s="1"/>
  <c r="H19" i="3" s="1"/>
  <c r="F20" i="3"/>
  <c r="G20" i="3" s="1"/>
  <c r="H20" i="3" s="1"/>
  <c r="F21" i="3"/>
  <c r="G21" i="3" s="1"/>
  <c r="H21" i="3" s="1"/>
  <c r="F22" i="3"/>
  <c r="G22" i="3" s="1"/>
  <c r="H22" i="3" s="1"/>
  <c r="F23" i="3"/>
  <c r="G23" i="3" s="1"/>
  <c r="H23" i="3" s="1"/>
  <c r="F24" i="3"/>
  <c r="G24" i="3" s="1"/>
  <c r="H24" i="3" s="1"/>
  <c r="F25" i="3"/>
  <c r="G25" i="3" s="1"/>
  <c r="H25" i="3" s="1"/>
  <c r="F26" i="3"/>
  <c r="G26" i="3" s="1"/>
  <c r="H26" i="3" s="1"/>
  <c r="F27" i="3"/>
  <c r="G27" i="3" s="1"/>
  <c r="H27" i="3" s="1"/>
  <c r="F28" i="3"/>
  <c r="G28" i="3" s="1"/>
  <c r="H28" i="3" s="1"/>
  <c r="F29" i="3"/>
  <c r="F30" i="3"/>
  <c r="G8" i="3"/>
  <c r="H8" i="3" s="1"/>
  <c r="E11" i="4" l="1"/>
  <c r="F11" i="4" s="1"/>
  <c r="C19" i="4" s="1"/>
  <c r="G30" i="3"/>
  <c r="H30" i="3" s="1"/>
  <c r="G29" i="3"/>
  <c r="H29" i="3" s="1"/>
  <c r="C15" i="1"/>
  <c r="D15" i="1"/>
  <c r="E15" i="1"/>
  <c r="F15" i="1"/>
  <c r="G15" i="1"/>
  <c r="H15" i="1"/>
  <c r="I15" i="1"/>
  <c r="J15" i="1"/>
  <c r="C16" i="1"/>
  <c r="D16" i="1"/>
  <c r="E16" i="1"/>
  <c r="F16" i="1"/>
  <c r="G16" i="1"/>
  <c r="H16" i="1"/>
  <c r="I16" i="1"/>
  <c r="J16" i="1"/>
  <c r="C17" i="1"/>
  <c r="D17" i="1"/>
  <c r="E17" i="1"/>
  <c r="F17" i="1"/>
  <c r="G17" i="1"/>
  <c r="H17" i="1"/>
  <c r="I17" i="1"/>
  <c r="J17" i="1"/>
  <c r="C18" i="1"/>
  <c r="D18" i="1"/>
  <c r="E18" i="1"/>
  <c r="F18" i="1"/>
  <c r="G18" i="1"/>
  <c r="H18" i="1"/>
  <c r="I18" i="1"/>
  <c r="J18" i="1"/>
  <c r="C19" i="1"/>
  <c r="D19" i="1"/>
  <c r="E19" i="1"/>
  <c r="F19" i="1"/>
  <c r="G19" i="1"/>
  <c r="H19" i="1"/>
  <c r="I19" i="1"/>
  <c r="J19" i="1"/>
  <c r="C20" i="1"/>
  <c r="D20" i="1"/>
  <c r="E20" i="1"/>
  <c r="F20" i="1"/>
  <c r="G20" i="1"/>
  <c r="H20" i="1"/>
  <c r="I20" i="1"/>
  <c r="J20" i="1"/>
  <c r="D14" i="1"/>
  <c r="E14" i="1"/>
  <c r="F14" i="1"/>
  <c r="G14" i="1"/>
  <c r="H14" i="1"/>
  <c r="I14" i="1"/>
  <c r="J14" i="1"/>
  <c r="C14" i="1"/>
  <c r="H31" i="3" l="1"/>
</calcChain>
</file>

<file path=xl/sharedStrings.xml><?xml version="1.0" encoding="utf-8"?>
<sst xmlns="http://schemas.openxmlformats.org/spreadsheetml/2006/main" count="97" uniqueCount="46">
  <si>
    <t>From/to</t>
  </si>
  <si>
    <t>AAA</t>
  </si>
  <si>
    <t>AA</t>
  </si>
  <si>
    <t>A</t>
  </si>
  <si>
    <t>BBB</t>
  </si>
  <si>
    <t>BB</t>
  </si>
  <si>
    <t>B</t>
  </si>
  <si>
    <t>CCC/C</t>
  </si>
  <si>
    <t>D</t>
  </si>
  <si>
    <t>NR</t>
  </si>
  <si>
    <t>Input Nº of Periods</t>
  </si>
  <si>
    <t>Year</t>
  </si>
  <si>
    <t>Question 1</t>
  </si>
  <si>
    <t>Question 2</t>
  </si>
  <si>
    <t>Firm id</t>
  </si>
  <si>
    <t>Current Assets / Current Liabilities</t>
  </si>
  <si>
    <t xml:space="preserve">EBIT / Assets </t>
  </si>
  <si>
    <t>Default(y)</t>
  </si>
  <si>
    <t>Parameters</t>
  </si>
  <si>
    <t>b0</t>
  </si>
  <si>
    <t>b1</t>
  </si>
  <si>
    <t>b2</t>
  </si>
  <si>
    <t>f</t>
  </si>
  <si>
    <t>x</t>
  </si>
  <si>
    <t>PD</t>
  </si>
  <si>
    <t>ROE</t>
  </si>
  <si>
    <t>k</t>
  </si>
  <si>
    <t>LGD</t>
  </si>
  <si>
    <t>Spread =</t>
  </si>
  <si>
    <t>Question 3</t>
  </si>
  <si>
    <t>1)</t>
  </si>
  <si>
    <t>2)</t>
  </si>
  <si>
    <t>(if input is changed, the button must be pressed to show reults)</t>
  </si>
  <si>
    <t>Exhibit: N-period Transition Matrix</t>
  </si>
  <si>
    <t>Exhibit: Correspondent Square Matrix</t>
  </si>
  <si>
    <t>Exhibit: One-Year Global Corporate Average Transition Rates (1981-2014, S&amp;P) (%)</t>
  </si>
  <si>
    <t>(hardcoded results found with Solver)</t>
  </si>
  <si>
    <t>Exhibt: Probability of default of the firm</t>
  </si>
  <si>
    <t>Firm ID</t>
  </si>
  <si>
    <t>CREDIT RISK</t>
  </si>
  <si>
    <t>Frederike Adams</t>
  </si>
  <si>
    <t>Mona Anticona Carpio</t>
  </si>
  <si>
    <t>Thomas Dornigg</t>
  </si>
  <si>
    <t>Homework 2: Estimation of Default Probabilities</t>
  </si>
  <si>
    <t>Log Likelihood function</t>
  </si>
  <si>
    <t>(used SOLVER to maximize this value)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</si>
</sst>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i/>
      <sz val="9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83">
    <xf numFmtId="0" fontId="0" fillId="0" borderId="0" xfId="0"/>
    <xf numFmtId="0" fontId="0" fillId="0" borderId="0" xfId="0"/>
    <xf numFmtId="0" fontId="4" fillId="0" borderId="0" xfId="0" applyFont="1" applyAlignment="1"/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2" fontId="0" fillId="0" borderId="0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0" fillId="0" borderId="2" xfId="0" applyBorder="1"/>
    <xf numFmtId="10" fontId="0" fillId="0" borderId="0" xfId="1" applyNumberFormat="1" applyFont="1" applyBorder="1" applyAlignment="1">
      <alignment horizontal="center"/>
    </xf>
    <xf numFmtId="10" fontId="0" fillId="0" borderId="2" xfId="1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4" borderId="2" xfId="0" applyFill="1" applyBorder="1"/>
    <xf numFmtId="0" fontId="3" fillId="4" borderId="2" xfId="0" applyFont="1" applyFill="1" applyBorder="1"/>
    <xf numFmtId="0" fontId="3" fillId="3" borderId="2" xfId="0" applyFont="1" applyFill="1" applyBorder="1"/>
    <xf numFmtId="0" fontId="0" fillId="3" borderId="2" xfId="0" applyFill="1" applyBorder="1"/>
    <xf numFmtId="0" fontId="4" fillId="0" borderId="6" xfId="0" applyFont="1" applyBorder="1"/>
    <xf numFmtId="0" fontId="2" fillId="2" borderId="1" xfId="2"/>
    <xf numFmtId="0" fontId="0" fillId="5" borderId="0" xfId="0" applyFill="1"/>
    <xf numFmtId="0" fontId="7" fillId="0" borderId="0" xfId="0" applyFont="1"/>
    <xf numFmtId="0" fontId="0" fillId="0" borderId="12" xfId="0" applyBorder="1" applyAlignment="1">
      <alignment horizontal="left"/>
    </xf>
    <xf numFmtId="0" fontId="0" fillId="0" borderId="12" xfId="0" applyBorder="1" applyAlignment="1">
      <alignment horizontal="center"/>
    </xf>
    <xf numFmtId="0" fontId="4" fillId="0" borderId="2" xfId="0" applyFont="1" applyBorder="1" applyAlignment="1">
      <alignment horizontal="center"/>
    </xf>
    <xf numFmtId="10" fontId="4" fillId="0" borderId="2" xfId="1" applyNumberFormat="1" applyFont="1" applyBorder="1" applyAlignment="1">
      <alignment horizontal="center"/>
    </xf>
    <xf numFmtId="0" fontId="0" fillId="6" borderId="0" xfId="0" applyFill="1"/>
    <xf numFmtId="0" fontId="4" fillId="6" borderId="0" xfId="0" applyFont="1" applyFill="1"/>
    <xf numFmtId="0" fontId="0" fillId="6" borderId="8" xfId="0" applyFill="1" applyBorder="1"/>
    <xf numFmtId="2" fontId="0" fillId="6" borderId="9" xfId="0" applyNumberFormat="1" applyFill="1" applyBorder="1"/>
    <xf numFmtId="0" fontId="0" fillId="6" borderId="5" xfId="0" applyFill="1" applyBorder="1"/>
    <xf numFmtId="2" fontId="0" fillId="6" borderId="10" xfId="0" applyNumberFormat="1" applyFill="1" applyBorder="1"/>
    <xf numFmtId="0" fontId="0" fillId="6" borderId="7" xfId="0" applyFill="1" applyBorder="1"/>
    <xf numFmtId="2" fontId="0" fillId="6" borderId="11" xfId="0" applyNumberFormat="1" applyFill="1" applyBorder="1"/>
    <xf numFmtId="0" fontId="4" fillId="6" borderId="0" xfId="0" applyFont="1" applyFill="1" applyBorder="1"/>
    <xf numFmtId="2" fontId="0" fillId="6" borderId="0" xfId="0" applyNumberFormat="1" applyFill="1" applyBorder="1" applyAlignment="1">
      <alignment horizontal="center"/>
    </xf>
    <xf numFmtId="10" fontId="4" fillId="6" borderId="0" xfId="1" applyNumberFormat="1" applyFont="1" applyFill="1" applyBorder="1" applyAlignment="1">
      <alignment horizontal="center"/>
    </xf>
    <xf numFmtId="9" fontId="0" fillId="6" borderId="9" xfId="1" applyNumberFormat="1" applyFont="1" applyFill="1" applyBorder="1"/>
    <xf numFmtId="9" fontId="0" fillId="6" borderId="10" xfId="1" applyNumberFormat="1" applyFont="1" applyFill="1" applyBorder="1"/>
    <xf numFmtId="9" fontId="0" fillId="6" borderId="11" xfId="1" applyNumberFormat="1" applyFont="1" applyFill="1" applyBorder="1"/>
    <xf numFmtId="0" fontId="4" fillId="6" borderId="0" xfId="0" applyFont="1" applyFill="1" applyAlignment="1">
      <alignment horizontal="right"/>
    </xf>
    <xf numFmtId="10" fontId="4" fillId="6" borderId="0" xfId="0" applyNumberFormat="1" applyFont="1" applyFill="1" applyAlignment="1">
      <alignment horizontal="left"/>
    </xf>
    <xf numFmtId="2" fontId="0" fillId="6" borderId="0" xfId="0" applyNumberFormat="1" applyFill="1"/>
    <xf numFmtId="0" fontId="6" fillId="6" borderId="0" xfId="0" applyFont="1" applyFill="1"/>
    <xf numFmtId="0" fontId="0" fillId="6" borderId="0" xfId="0" applyFill="1" applyBorder="1" applyAlignment="1">
      <alignment horizontal="center"/>
    </xf>
    <xf numFmtId="2" fontId="0" fillId="6" borderId="5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2" fontId="0" fillId="6" borderId="7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12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4" fillId="6" borderId="14" xfId="0" applyFont="1" applyFill="1" applyBorder="1"/>
    <xf numFmtId="0" fontId="4" fillId="6" borderId="4" xfId="0" applyFont="1" applyFill="1" applyBorder="1"/>
    <xf numFmtId="0" fontId="4" fillId="6" borderId="15" xfId="0" applyFont="1" applyFill="1" applyBorder="1"/>
    <xf numFmtId="0" fontId="0" fillId="6" borderId="16" xfId="0" applyFill="1" applyBorder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6" borderId="16" xfId="0" applyNumberFormat="1" applyFill="1" applyBorder="1" applyAlignment="1">
      <alignment horizontal="center"/>
    </xf>
    <xf numFmtId="2" fontId="0" fillId="6" borderId="15" xfId="0" applyNumberFormat="1" applyFill="1" applyBorder="1" applyAlignment="1">
      <alignment horizontal="center"/>
    </xf>
    <xf numFmtId="0" fontId="0" fillId="6" borderId="0" xfId="0" applyFill="1" applyBorder="1"/>
    <xf numFmtId="0" fontId="0" fillId="6" borderId="0" xfId="0" applyFill="1" applyAlignment="1">
      <alignment horizontal="center"/>
    </xf>
    <xf numFmtId="0" fontId="0" fillId="6" borderId="18" xfId="0" applyFill="1" applyBorder="1" applyAlignment="1">
      <alignment horizontal="center" vertical="center" wrapText="1"/>
    </xf>
    <xf numFmtId="10" fontId="4" fillId="6" borderId="11" xfId="1" applyNumberFormat="1" applyFont="1" applyFill="1" applyBorder="1" applyAlignment="1">
      <alignment horizontal="center"/>
    </xf>
    <xf numFmtId="0" fontId="5" fillId="6" borderId="19" xfId="0" applyFont="1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/>
    </xf>
    <xf numFmtId="0" fontId="0" fillId="6" borderId="19" xfId="0" applyFill="1" applyBorder="1" applyAlignment="1">
      <alignment horizontal="center" vertical="center" wrapText="1"/>
    </xf>
    <xf numFmtId="0" fontId="0" fillId="6" borderId="15" xfId="0" applyFill="1" applyBorder="1"/>
    <xf numFmtId="2" fontId="0" fillId="6" borderId="0" xfId="0" applyNumberFormat="1" applyFill="1" applyBorder="1"/>
    <xf numFmtId="0" fontId="0" fillId="6" borderId="14" xfId="0" applyFill="1" applyBorder="1"/>
    <xf numFmtId="0" fontId="0" fillId="6" borderId="4" xfId="0" applyFill="1" applyBorder="1"/>
    <xf numFmtId="0" fontId="0" fillId="5" borderId="0" xfId="0" applyFill="1" applyAlignment="1">
      <alignment horizontal="center"/>
    </xf>
    <xf numFmtId="0" fontId="0" fillId="6" borderId="20" xfId="0" applyFill="1" applyBorder="1"/>
    <xf numFmtId="0" fontId="0" fillId="4" borderId="0" xfId="0" applyFill="1" applyBorder="1"/>
    <xf numFmtId="0" fontId="4" fillId="6" borderId="0" xfId="0" applyFon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164" fontId="0" fillId="6" borderId="11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0" fontId="5" fillId="6" borderId="13" xfId="0" applyFont="1" applyFill="1" applyBorder="1" applyAlignment="1">
      <alignment horizontal="center" vertical="center" wrapText="1"/>
    </xf>
    <xf numFmtId="0" fontId="0" fillId="6" borderId="17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2" fontId="0" fillId="6" borderId="21" xfId="0" applyNumberFormat="1" applyFill="1" applyBorder="1" applyAlignment="1">
      <alignment horizontal="center"/>
    </xf>
    <xf numFmtId="2" fontId="0" fillId="6" borderId="4" xfId="0" applyNumberFormat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0" fontId="10" fillId="6" borderId="0" xfId="0" applyFont="1" applyFill="1" applyAlignment="1">
      <alignment horizontal="center"/>
    </xf>
  </cellXfs>
  <cellStyles count="3"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Exhibit: Cumulative Probability for A and BB</a:t>
            </a:r>
          </a:p>
        </c:rich>
      </c:tx>
      <c:layout>
        <c:manualLayout>
          <c:xMode val="edge"/>
          <c:yMode val="edge"/>
          <c:x val="0.1592639982502187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Exercise_01!$P$3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Exercise_01!$P$4:$P$13</c:f>
              <c:numCache>
                <c:formatCode>0.00%</c:formatCode>
                <c:ptCount val="10"/>
                <c:pt idx="0">
                  <c:v>7.3398343294537086E-4</c:v>
                </c:pt>
                <c:pt idx="1">
                  <c:v>1.6930766426885529E-3</c:v>
                </c:pt>
                <c:pt idx="2">
                  <c:v>2.910790116259554E-3</c:v>
                </c:pt>
                <c:pt idx="3">
                  <c:v>4.4148287660603957E-3</c:v>
                </c:pt>
                <c:pt idx="4">
                  <c:v>6.2282067681170361E-3</c:v>
                </c:pt>
                <c:pt idx="5">
                  <c:v>8.3694232769087971E-3</c:v>
                </c:pt>
                <c:pt idx="6">
                  <c:v>1.085242474119515E-2</c:v>
                </c:pt>
                <c:pt idx="7">
                  <c:v>1.3686628623039531E-2</c:v>
                </c:pt>
                <c:pt idx="8">
                  <c:v>1.6877083203659587E-2</c:v>
                </c:pt>
                <c:pt idx="9">
                  <c:v>2.0424756510685347E-2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EC6-48C2-846F-04FA6CFB8645}"/>
            </c:ext>
          </c:extLst>
        </c:ser>
        <c:ser>
          <c:idx val="1"/>
          <c:order val="1"/>
          <c:tx>
            <c:strRef>
              <c:f>Exercise_01!$Q$3</c:f>
              <c:strCache>
                <c:ptCount val="1"/>
                <c:pt idx="0">
                  <c:v>BB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Exercise_01!$Q$4:$Q$13</c:f>
              <c:numCache>
                <c:formatCode>0.00%</c:formatCode>
                <c:ptCount val="10"/>
                <c:pt idx="0">
                  <c:v>8.4126632720832404E-3</c:v>
                </c:pt>
                <c:pt idx="1">
                  <c:v>2.1344103797155494E-2</c:v>
                </c:pt>
                <c:pt idx="2">
                  <c:v>3.7806420602731615E-2</c:v>
                </c:pt>
                <c:pt idx="3">
                  <c:v>5.683789518198909E-2</c:v>
                </c:pt>
                <c:pt idx="4">
                  <c:v>7.7608096345851363E-2</c:v>
                </c:pt>
                <c:pt idx="5">
                  <c:v>9.9442657707066326E-2</c:v>
                </c:pt>
                <c:pt idx="6">
                  <c:v>0.12181437558199321</c:v>
                </c:pt>
                <c:pt idx="7">
                  <c:v>0.14432239086217802</c:v>
                </c:pt>
                <c:pt idx="8">
                  <c:v>0.16666917984837046</c:v>
                </c:pt>
                <c:pt idx="9">
                  <c:v>0.18863934533379775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EC6-48C2-846F-04FA6CFB8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2440784"/>
        <c:axId val="198318496"/>
      </c:lineChart>
      <c:catAx>
        <c:axId val="1782440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18496"/>
        <c:crosses val="autoZero"/>
        <c:auto val="1"/>
        <c:lblAlgn val="ctr"/>
        <c:lblOffset val="100"/>
        <c:noMultiLvlLbl val="0"/>
      </c:catAx>
      <c:valAx>
        <c:axId val="19831849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440784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68580</xdr:colOff>
      <xdr:row>1</xdr:row>
      <xdr:rowOff>53340</xdr:rowOff>
    </xdr:from>
    <xdr:to>
      <xdr:col>6</xdr:col>
      <xdr:colOff>190500</xdr:colOff>
      <xdr:row>13</xdr:row>
      <xdr:rowOff>20320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780" y="236220"/>
          <a:ext cx="5052060" cy="21615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403860</xdr:colOff>
          <xdr:row>21</xdr:row>
          <xdr:rowOff>144780</xdr:rowOff>
        </xdr:from>
        <xdr:to>
          <xdr:col>9</xdr:col>
          <xdr:colOff>601980</xdr:colOff>
          <xdr:row>24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N-Period Transition Matrix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400050</xdr:colOff>
      <xdr:row>21</xdr:row>
      <xdr:rowOff>123825</xdr:rowOff>
    </xdr:from>
    <xdr:to>
      <xdr:col>10</xdr:col>
      <xdr:colOff>0</xdr:colOff>
      <xdr:row>24</xdr:row>
      <xdr:rowOff>57150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019550" y="4124325"/>
          <a:ext cx="2647950" cy="504825"/>
        </a:xfrm>
        <a:prstGeom prst="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10885</xdr:colOff>
      <xdr:row>1</xdr:row>
      <xdr:rowOff>127907</xdr:rowOff>
    </xdr:from>
    <xdr:to>
      <xdr:col>27</xdr:col>
      <xdr:colOff>484413</xdr:colOff>
      <xdr:row>16</xdr:row>
      <xdr:rowOff>157161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1546C-6C31-429D-83FD-8A5B14B0922C}">
  <dimension ref="B15:F21"/>
  <sheetViews>
    <sheetView tabSelected="1" workbookViewId="0"/>
  </sheetViews>
  <sheetFormatPr defaultColWidth="12.21875" defaultRowHeight="14.4" x14ac:dyDescent="0.3"/>
  <cols>
    <col min="1" max="1" width="12.21875" style="24"/>
    <col min="2" max="2" width="23" style="24" customWidth="1"/>
    <col min="3" max="16384" width="12.21875" style="24"/>
  </cols>
  <sheetData>
    <row r="15" spans="2:6" ht="28.8" x14ac:dyDescent="0.55000000000000004">
      <c r="B15" s="81" t="s">
        <v>39</v>
      </c>
      <c r="C15" s="81"/>
      <c r="D15" s="81"/>
      <c r="E15" s="81"/>
      <c r="F15" s="81"/>
    </row>
    <row r="16" spans="2:6" ht="21" x14ac:dyDescent="0.4">
      <c r="B16" s="82" t="s">
        <v>43</v>
      </c>
      <c r="C16" s="82"/>
      <c r="D16" s="82"/>
      <c r="E16" s="82"/>
      <c r="F16" s="82"/>
    </row>
    <row r="17" spans="2:6" x14ac:dyDescent="0.3">
      <c r="B17" s="57"/>
      <c r="C17" s="57"/>
      <c r="D17" s="57"/>
      <c r="E17" s="57"/>
      <c r="F17" s="57"/>
    </row>
    <row r="19" spans="2:6" x14ac:dyDescent="0.3">
      <c r="B19" s="24" t="s">
        <v>40</v>
      </c>
      <c r="C19" s="24">
        <v>44091</v>
      </c>
    </row>
    <row r="20" spans="2:6" x14ac:dyDescent="0.3">
      <c r="B20" s="68" t="s">
        <v>41</v>
      </c>
      <c r="C20" s="68">
        <v>44170</v>
      </c>
    </row>
    <row r="21" spans="2:6" x14ac:dyDescent="0.3">
      <c r="B21" s="68" t="s">
        <v>42</v>
      </c>
      <c r="C21" s="68">
        <v>41727</v>
      </c>
    </row>
  </sheetData>
  <mergeCells count="2">
    <mergeCell ref="B15:F15"/>
    <mergeCell ref="B16:F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4"/>
  <sheetViews>
    <sheetView showGridLines="0" zoomScale="70" zoomScaleNormal="70" workbookViewId="0">
      <selection activeCell="S22" sqref="S22"/>
    </sheetView>
  </sheetViews>
  <sheetFormatPr defaultRowHeight="14.4" outlineLevelCol="1" x14ac:dyDescent="0.3"/>
  <cols>
    <col min="1" max="1" width="9.109375" customWidth="1" outlineLevel="1"/>
    <col min="2" max="2" width="17.6640625" customWidth="1" outlineLevel="1"/>
    <col min="3" max="3" width="7.5546875" customWidth="1" outlineLevel="1"/>
    <col min="4" max="12" width="9.109375" customWidth="1" outlineLevel="1"/>
  </cols>
  <sheetData>
    <row r="1" spans="1:17" x14ac:dyDescent="0.3">
      <c r="A1" s="14" t="s">
        <v>12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7" x14ac:dyDescent="0.3">
      <c r="B2" s="2" t="s">
        <v>35</v>
      </c>
      <c r="C2" s="2"/>
      <c r="D2" s="2"/>
      <c r="E2" s="2"/>
      <c r="F2" s="2"/>
      <c r="G2" s="2"/>
      <c r="H2" s="2"/>
      <c r="I2" s="2"/>
      <c r="J2" s="2"/>
      <c r="K2" s="2"/>
    </row>
    <row r="3" spans="1:17" ht="15" thickBot="1" x14ac:dyDescent="0.35">
      <c r="B3" s="20" t="s">
        <v>0</v>
      </c>
      <c r="C3" s="21" t="s">
        <v>1</v>
      </c>
      <c r="D3" s="21" t="s">
        <v>2</v>
      </c>
      <c r="E3" s="21" t="s">
        <v>3</v>
      </c>
      <c r="F3" s="21" t="s">
        <v>4</v>
      </c>
      <c r="G3" s="21" t="s">
        <v>5</v>
      </c>
      <c r="H3" s="21" t="s">
        <v>6</v>
      </c>
      <c r="I3" s="21" t="s">
        <v>7</v>
      </c>
      <c r="J3" s="21" t="s">
        <v>8</v>
      </c>
      <c r="K3" s="21" t="s">
        <v>9</v>
      </c>
      <c r="O3" s="21" t="s">
        <v>11</v>
      </c>
      <c r="P3" s="21" t="s">
        <v>3</v>
      </c>
      <c r="Q3" s="21" t="s">
        <v>5</v>
      </c>
    </row>
    <row r="4" spans="1:17" ht="15" thickTop="1" x14ac:dyDescent="0.3">
      <c r="B4" s="3" t="s">
        <v>1</v>
      </c>
      <c r="C4" s="5">
        <v>87.03</v>
      </c>
      <c r="D4" s="5">
        <v>9.0299999999999994</v>
      </c>
      <c r="E4" s="5">
        <v>0.54</v>
      </c>
      <c r="F4" s="5">
        <v>0.05</v>
      </c>
      <c r="G4" s="5">
        <v>0.08</v>
      </c>
      <c r="H4" s="5">
        <v>0.03</v>
      </c>
      <c r="I4" s="5">
        <v>0.05</v>
      </c>
      <c r="J4" s="5">
        <v>0</v>
      </c>
      <c r="K4" s="5">
        <v>3.19</v>
      </c>
      <c r="O4" s="11">
        <v>1</v>
      </c>
      <c r="P4" s="9">
        <v>7.3398343294537086E-4</v>
      </c>
      <c r="Q4" s="9">
        <v>8.4126632720832404E-3</v>
      </c>
    </row>
    <row r="5" spans="1:17" x14ac:dyDescent="0.3">
      <c r="B5" s="3" t="s">
        <v>2</v>
      </c>
      <c r="C5" s="5">
        <v>0.54</v>
      </c>
      <c r="D5" s="5">
        <v>86.53</v>
      </c>
      <c r="E5" s="5">
        <v>8.14</v>
      </c>
      <c r="F5" s="5">
        <v>0.54</v>
      </c>
      <c r="G5" s="5">
        <v>0.06</v>
      </c>
      <c r="H5" s="5">
        <v>7.0000000000000007E-2</v>
      </c>
      <c r="I5" s="5">
        <v>0.02</v>
      </c>
      <c r="J5" s="5">
        <v>0.02</v>
      </c>
      <c r="K5" s="5">
        <v>4.07</v>
      </c>
      <c r="O5" s="11">
        <v>2</v>
      </c>
      <c r="P5" s="9">
        <v>1.6930766426885529E-3</v>
      </c>
      <c r="Q5" s="9">
        <v>2.1344103797155494E-2</v>
      </c>
    </row>
    <row r="6" spans="1:17" x14ac:dyDescent="0.3">
      <c r="B6" s="3" t="s">
        <v>3</v>
      </c>
      <c r="C6" s="5">
        <v>0.03</v>
      </c>
      <c r="D6" s="5">
        <v>1.83</v>
      </c>
      <c r="E6" s="5">
        <v>87.55</v>
      </c>
      <c r="F6" s="5">
        <v>5.38</v>
      </c>
      <c r="G6" s="5">
        <v>0.35</v>
      </c>
      <c r="H6" s="5">
        <v>0.14000000000000001</v>
      </c>
      <c r="I6" s="5">
        <v>0.02</v>
      </c>
      <c r="J6" s="5">
        <v>7.0000000000000007E-2</v>
      </c>
      <c r="K6" s="5">
        <v>4.6399999999999997</v>
      </c>
      <c r="O6" s="11">
        <v>3</v>
      </c>
      <c r="P6" s="9">
        <v>2.910790116259554E-3</v>
      </c>
      <c r="Q6" s="9">
        <v>3.7806420602731615E-2</v>
      </c>
    </row>
    <row r="7" spans="1:17" x14ac:dyDescent="0.3">
      <c r="B7" s="3" t="s">
        <v>4</v>
      </c>
      <c r="C7" s="5">
        <v>0.01</v>
      </c>
      <c r="D7" s="5">
        <v>0.11</v>
      </c>
      <c r="E7" s="5">
        <v>3.58</v>
      </c>
      <c r="F7" s="5">
        <v>85.44</v>
      </c>
      <c r="G7" s="5">
        <v>3.75</v>
      </c>
      <c r="H7" s="5">
        <v>0.56000000000000005</v>
      </c>
      <c r="I7" s="5">
        <v>0.13</v>
      </c>
      <c r="J7" s="5">
        <v>0.2</v>
      </c>
      <c r="K7" s="5">
        <v>6.23</v>
      </c>
      <c r="O7" s="11">
        <v>4</v>
      </c>
      <c r="P7" s="9">
        <v>4.4148287660603957E-3</v>
      </c>
      <c r="Q7" s="9">
        <v>5.683789518198909E-2</v>
      </c>
    </row>
    <row r="8" spans="1:17" x14ac:dyDescent="0.3">
      <c r="B8" s="3" t="s">
        <v>5</v>
      </c>
      <c r="C8" s="5">
        <v>0.01</v>
      </c>
      <c r="D8" s="5">
        <v>0.03</v>
      </c>
      <c r="E8" s="5">
        <v>0.14000000000000001</v>
      </c>
      <c r="F8" s="5">
        <v>5.16</v>
      </c>
      <c r="G8" s="5">
        <v>76.62</v>
      </c>
      <c r="H8" s="5">
        <v>6.96</v>
      </c>
      <c r="I8" s="5">
        <v>0.66</v>
      </c>
      <c r="J8" s="5">
        <v>0.76</v>
      </c>
      <c r="K8" s="5">
        <v>9.64</v>
      </c>
      <c r="O8" s="11">
        <v>5</v>
      </c>
      <c r="P8" s="9">
        <v>6.2282067681170361E-3</v>
      </c>
      <c r="Q8" s="9">
        <v>7.7608096345851363E-2</v>
      </c>
    </row>
    <row r="9" spans="1:17" x14ac:dyDescent="0.3">
      <c r="B9" s="3" t="s">
        <v>6</v>
      </c>
      <c r="C9" s="5">
        <v>0</v>
      </c>
      <c r="D9" s="5">
        <v>0.03</v>
      </c>
      <c r="E9" s="5">
        <v>0.1</v>
      </c>
      <c r="F9" s="5">
        <v>0.21</v>
      </c>
      <c r="G9" s="5">
        <v>5.4</v>
      </c>
      <c r="H9" s="5">
        <v>74.12</v>
      </c>
      <c r="I9" s="5">
        <v>4.37</v>
      </c>
      <c r="J9" s="5">
        <v>3.88</v>
      </c>
      <c r="K9" s="5">
        <v>11.89</v>
      </c>
      <c r="O9" s="11">
        <v>6</v>
      </c>
      <c r="P9" s="9">
        <v>8.3694232769087971E-3</v>
      </c>
      <c r="Q9" s="9">
        <v>9.9442657707066326E-2</v>
      </c>
    </row>
    <row r="10" spans="1:17" x14ac:dyDescent="0.3">
      <c r="B10" s="4" t="s">
        <v>7</v>
      </c>
      <c r="C10" s="6">
        <v>0</v>
      </c>
      <c r="D10" s="6">
        <v>0</v>
      </c>
      <c r="E10" s="6">
        <v>0.14000000000000001</v>
      </c>
      <c r="F10" s="6">
        <v>0.22</v>
      </c>
      <c r="G10" s="6">
        <v>0.65</v>
      </c>
      <c r="H10" s="6">
        <v>13.26</v>
      </c>
      <c r="I10" s="6">
        <v>43.85</v>
      </c>
      <c r="J10" s="6">
        <v>26.38</v>
      </c>
      <c r="K10" s="6">
        <v>15.49</v>
      </c>
      <c r="O10" s="11">
        <v>7</v>
      </c>
      <c r="P10" s="9">
        <v>1.085242474119515E-2</v>
      </c>
      <c r="Q10" s="9">
        <v>0.12181437558199321</v>
      </c>
    </row>
    <row r="11" spans="1:17" x14ac:dyDescent="0.3">
      <c r="O11" s="11">
        <v>8</v>
      </c>
      <c r="P11" s="9">
        <v>1.3686628623039531E-2</v>
      </c>
      <c r="Q11" s="9">
        <v>0.14432239086217802</v>
      </c>
    </row>
    <row r="12" spans="1:17" x14ac:dyDescent="0.3">
      <c r="B12" s="7" t="s">
        <v>34</v>
      </c>
      <c r="O12" s="11">
        <v>9</v>
      </c>
      <c r="P12" s="9">
        <v>1.6877083203659587E-2</v>
      </c>
      <c r="Q12" s="9">
        <v>0.16666917984837046</v>
      </c>
    </row>
    <row r="13" spans="1:17" ht="15" thickBot="1" x14ac:dyDescent="0.35">
      <c r="B13" s="20" t="s">
        <v>0</v>
      </c>
      <c r="C13" s="21" t="s">
        <v>1</v>
      </c>
      <c r="D13" s="21" t="s">
        <v>2</v>
      </c>
      <c r="E13" s="21" t="s">
        <v>3</v>
      </c>
      <c r="F13" s="21" t="s">
        <v>4</v>
      </c>
      <c r="G13" s="21" t="s">
        <v>5</v>
      </c>
      <c r="H13" s="21" t="s">
        <v>6</v>
      </c>
      <c r="I13" s="21" t="s">
        <v>7</v>
      </c>
      <c r="J13" s="21" t="s">
        <v>8</v>
      </c>
      <c r="K13" s="1"/>
      <c r="O13" s="22">
        <v>10</v>
      </c>
      <c r="P13" s="23">
        <v>2.0424756510685347E-2</v>
      </c>
      <c r="Q13" s="23">
        <v>0.18863934533379775</v>
      </c>
    </row>
    <row r="14" spans="1:17" ht="15" thickTop="1" x14ac:dyDescent="0.3">
      <c r="B14" s="3" t="s">
        <v>1</v>
      </c>
      <c r="C14" s="9">
        <f>C4/SUM($C4:$J4)</f>
        <v>0.89897737837000313</v>
      </c>
      <c r="D14" s="9">
        <f t="shared" ref="D14:J14" si="0">D4/SUM($C4:$J4)</f>
        <v>9.3275488069414311E-2</v>
      </c>
      <c r="E14" s="9">
        <f t="shared" si="0"/>
        <v>5.5779361636194612E-3</v>
      </c>
      <c r="F14" s="9">
        <f t="shared" si="0"/>
        <v>5.164755707055056E-4</v>
      </c>
      <c r="G14" s="9">
        <f t="shared" si="0"/>
        <v>8.2636091312880905E-4</v>
      </c>
      <c r="H14" s="9">
        <f t="shared" si="0"/>
        <v>3.0988534242330334E-4</v>
      </c>
      <c r="I14" s="9">
        <f t="shared" si="0"/>
        <v>5.164755707055056E-4</v>
      </c>
      <c r="J14" s="9">
        <f t="shared" si="0"/>
        <v>0</v>
      </c>
    </row>
    <row r="15" spans="1:17" x14ac:dyDescent="0.3">
      <c r="B15" s="3" t="s">
        <v>2</v>
      </c>
      <c r="C15" s="9">
        <f t="shared" ref="C15:J15" si="1">C5/SUM($C5:$J5)</f>
        <v>5.6296914095079233E-3</v>
      </c>
      <c r="D15" s="9">
        <f t="shared" si="1"/>
        <v>0.9021059216013344</v>
      </c>
      <c r="E15" s="9">
        <f t="shared" si="1"/>
        <v>8.4862385321100922E-2</v>
      </c>
      <c r="F15" s="9">
        <f t="shared" si="1"/>
        <v>5.6296914095079233E-3</v>
      </c>
      <c r="G15" s="9">
        <f t="shared" si="1"/>
        <v>6.2552126772310256E-4</v>
      </c>
      <c r="H15" s="9">
        <f t="shared" si="1"/>
        <v>7.2977481234361976E-4</v>
      </c>
      <c r="I15" s="9">
        <f t="shared" si="1"/>
        <v>2.0850708924103419E-4</v>
      </c>
      <c r="J15" s="9">
        <f t="shared" si="1"/>
        <v>2.0850708924103419E-4</v>
      </c>
    </row>
    <row r="16" spans="1:17" x14ac:dyDescent="0.3">
      <c r="B16" s="3" t="s">
        <v>3</v>
      </c>
      <c r="C16" s="9">
        <f t="shared" ref="C16:J16" si="2">C6/SUM($C6:$J6)</f>
        <v>3.1456432840515895E-4</v>
      </c>
      <c r="D16" s="9">
        <f t="shared" si="2"/>
        <v>1.9188424032714695E-2</v>
      </c>
      <c r="E16" s="9">
        <f t="shared" si="2"/>
        <v>0.91800356506238878</v>
      </c>
      <c r="F16" s="9">
        <f t="shared" si="2"/>
        <v>5.6411869560658502E-2</v>
      </c>
      <c r="G16" s="9">
        <f t="shared" si="2"/>
        <v>3.6699171647268541E-3</v>
      </c>
      <c r="H16" s="9">
        <f t="shared" si="2"/>
        <v>1.4679668658907417E-3</v>
      </c>
      <c r="I16" s="9">
        <f t="shared" si="2"/>
        <v>2.0970955227010596E-4</v>
      </c>
      <c r="J16" s="9">
        <f t="shared" si="2"/>
        <v>7.3398343294537086E-4</v>
      </c>
    </row>
    <row r="17" spans="2:10" x14ac:dyDescent="0.3">
      <c r="B17" s="3" t="s">
        <v>4</v>
      </c>
      <c r="C17" s="9">
        <f t="shared" ref="C17:J17" si="3">C7/SUM($C7:$J7)</f>
        <v>1.0663254425250586E-4</v>
      </c>
      <c r="D17" s="9">
        <f t="shared" si="3"/>
        <v>1.1729579867775645E-3</v>
      </c>
      <c r="E17" s="9">
        <f t="shared" si="3"/>
        <v>3.8174450842397102E-2</v>
      </c>
      <c r="F17" s="9">
        <f t="shared" si="3"/>
        <v>0.91106845809341008</v>
      </c>
      <c r="G17" s="9">
        <f t="shared" si="3"/>
        <v>3.9987204094689699E-2</v>
      </c>
      <c r="H17" s="9">
        <f t="shared" si="3"/>
        <v>5.9714224781403291E-3</v>
      </c>
      <c r="I17" s="9">
        <f t="shared" si="3"/>
        <v>1.3862230752825762E-3</v>
      </c>
      <c r="J17" s="9">
        <f t="shared" si="3"/>
        <v>2.1326508850501172E-3</v>
      </c>
    </row>
    <row r="18" spans="2:10" x14ac:dyDescent="0.3">
      <c r="B18" s="3" t="s">
        <v>5</v>
      </c>
      <c r="C18" s="9">
        <f t="shared" ref="C18:J18" si="4">C8/SUM($C8:$J8)</f>
        <v>1.1069293779056896E-4</v>
      </c>
      <c r="D18" s="9">
        <f t="shared" si="4"/>
        <v>3.3207881337170687E-4</v>
      </c>
      <c r="E18" s="9">
        <f t="shared" si="4"/>
        <v>1.5497011290679656E-3</v>
      </c>
      <c r="F18" s="9">
        <f t="shared" si="4"/>
        <v>5.7117555899933586E-2</v>
      </c>
      <c r="G18" s="9">
        <f t="shared" si="4"/>
        <v>0.84812928935133935</v>
      </c>
      <c r="H18" s="9">
        <f t="shared" si="4"/>
        <v>7.7042284702235994E-2</v>
      </c>
      <c r="I18" s="9">
        <f t="shared" si="4"/>
        <v>7.3057338941775515E-3</v>
      </c>
      <c r="J18" s="9">
        <f t="shared" si="4"/>
        <v>8.4126632720832404E-3</v>
      </c>
    </row>
    <row r="19" spans="2:10" x14ac:dyDescent="0.3">
      <c r="B19" s="3" t="s">
        <v>6</v>
      </c>
      <c r="C19" s="9">
        <f t="shared" ref="C19:J19" si="5">C9/SUM($C9:$J9)</f>
        <v>0</v>
      </c>
      <c r="D19" s="9">
        <f t="shared" si="5"/>
        <v>3.4048348655090226E-4</v>
      </c>
      <c r="E19" s="9">
        <f t="shared" si="5"/>
        <v>1.1349449551696744E-3</v>
      </c>
      <c r="F19" s="9">
        <f t="shared" si="5"/>
        <v>2.3833844058563161E-3</v>
      </c>
      <c r="G19" s="9">
        <f t="shared" si="5"/>
        <v>6.1287027579162413E-2</v>
      </c>
      <c r="H19" s="9">
        <f t="shared" si="5"/>
        <v>0.84122120077176266</v>
      </c>
      <c r="I19" s="9">
        <f t="shared" si="5"/>
        <v>4.9597094540914766E-2</v>
      </c>
      <c r="J19" s="9">
        <f t="shared" si="5"/>
        <v>4.4035864260583361E-2</v>
      </c>
    </row>
    <row r="20" spans="2:10" x14ac:dyDescent="0.3">
      <c r="B20" s="3" t="s">
        <v>7</v>
      </c>
      <c r="C20" s="9">
        <f t="shared" ref="C20:J20" si="6">C10/SUM($C10:$J10)</f>
        <v>0</v>
      </c>
      <c r="D20" s="9">
        <f t="shared" si="6"/>
        <v>0</v>
      </c>
      <c r="E20" s="9">
        <f t="shared" si="6"/>
        <v>1.6568047337278107E-3</v>
      </c>
      <c r="F20" s="9">
        <f t="shared" si="6"/>
        <v>2.6035502958579883E-3</v>
      </c>
      <c r="G20" s="9">
        <f t="shared" si="6"/>
        <v>7.6923076923076927E-3</v>
      </c>
      <c r="H20" s="9">
        <f t="shared" si="6"/>
        <v>0.15692307692307692</v>
      </c>
      <c r="I20" s="9">
        <f t="shared" si="6"/>
        <v>0.5189349112426036</v>
      </c>
      <c r="J20" s="9">
        <f t="shared" si="6"/>
        <v>0.31218934911242602</v>
      </c>
    </row>
    <row r="21" spans="2:10" x14ac:dyDescent="0.3">
      <c r="B21" s="8" t="s">
        <v>8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1</v>
      </c>
    </row>
    <row r="23" spans="2:10" x14ac:dyDescent="0.3">
      <c r="B23" s="16" t="s">
        <v>10</v>
      </c>
      <c r="C23" s="17">
        <v>10</v>
      </c>
    </row>
    <row r="24" spans="2:10" x14ac:dyDescent="0.3">
      <c r="B24" s="19" t="s">
        <v>32</v>
      </c>
    </row>
    <row r="25" spans="2:10" x14ac:dyDescent="0.3">
      <c r="B25" s="7" t="s">
        <v>33</v>
      </c>
      <c r="C25" s="1"/>
      <c r="D25" s="1"/>
      <c r="E25" s="1"/>
      <c r="F25" s="1"/>
      <c r="G25" s="1"/>
      <c r="H25" s="1"/>
      <c r="I25" s="1"/>
      <c r="J25" s="1"/>
    </row>
    <row r="26" spans="2:10" ht="15" thickBot="1" x14ac:dyDescent="0.35">
      <c r="B26" s="20" t="s">
        <v>0</v>
      </c>
      <c r="C26" s="21" t="s">
        <v>1</v>
      </c>
      <c r="D26" s="21" t="s">
        <v>2</v>
      </c>
      <c r="E26" s="21" t="s">
        <v>3</v>
      </c>
      <c r="F26" s="21" t="s">
        <v>4</v>
      </c>
      <c r="G26" s="21" t="s">
        <v>5</v>
      </c>
      <c r="H26" s="21" t="s">
        <v>6</v>
      </c>
      <c r="I26" s="21" t="s">
        <v>7</v>
      </c>
      <c r="J26" s="21" t="s">
        <v>8</v>
      </c>
    </row>
    <row r="27" spans="2:10" ht="15" thickTop="1" x14ac:dyDescent="0.3">
      <c r="B27" s="3" t="s">
        <v>1</v>
      </c>
      <c r="C27" s="9">
        <v>0.35528253446855751</v>
      </c>
      <c r="D27" s="9">
        <v>0.37789942900214618</v>
      </c>
      <c r="E27" s="9">
        <v>0.19336019913828179</v>
      </c>
      <c r="F27" s="9">
        <v>4.9227615556963228E-2</v>
      </c>
      <c r="G27" s="9">
        <v>1.0854389850143703E-2</v>
      </c>
      <c r="H27" s="9">
        <v>6.4235549990769962E-3</v>
      </c>
      <c r="I27" s="9">
        <v>1.3848209397033836E-3</v>
      </c>
      <c r="J27" s="9">
        <v>5.5674560451276301E-3</v>
      </c>
    </row>
    <row r="28" spans="2:10" x14ac:dyDescent="0.3">
      <c r="B28" s="3" t="s">
        <v>2</v>
      </c>
      <c r="C28" s="9">
        <v>2.3285026742509762E-2</v>
      </c>
      <c r="D28" s="9">
        <v>0.40285626136783304</v>
      </c>
      <c r="E28" s="9">
        <v>0.39267945270117977</v>
      </c>
      <c r="F28" s="9">
        <v>0.13316574254430591</v>
      </c>
      <c r="G28" s="9">
        <v>2.4791832736506966E-2</v>
      </c>
      <c r="H28" s="9">
        <v>1.2090730360235228E-2</v>
      </c>
      <c r="I28" s="9">
        <v>1.833575925258509E-3</v>
      </c>
      <c r="J28" s="9">
        <v>9.2973776221709197E-3</v>
      </c>
    </row>
    <row r="29" spans="2:10" x14ac:dyDescent="0.3">
      <c r="B29" s="3" t="s">
        <v>3</v>
      </c>
      <c r="C29" s="9">
        <v>3.8656567451790993E-3</v>
      </c>
      <c r="D29" s="9">
        <v>8.9755302672721332E-2</v>
      </c>
      <c r="E29" s="9">
        <v>0.51256479081030826</v>
      </c>
      <c r="F29" s="9">
        <v>0.2811173049462285</v>
      </c>
      <c r="G29" s="9">
        <v>6.1261276444480234E-2</v>
      </c>
      <c r="H29" s="9">
        <v>2.7181959420623954E-2</v>
      </c>
      <c r="I29" s="9">
        <v>3.8289524497749821E-3</v>
      </c>
      <c r="J29" s="9">
        <v>2.0424756510685347E-2</v>
      </c>
    </row>
    <row r="30" spans="2:10" x14ac:dyDescent="0.3">
      <c r="B30" s="3" t="s">
        <v>4</v>
      </c>
      <c r="C30" s="9">
        <v>1.2152258193374079E-3</v>
      </c>
      <c r="D30" s="9">
        <v>2.2203303547709372E-2</v>
      </c>
      <c r="E30" s="9">
        <v>0.1895335344965606</v>
      </c>
      <c r="F30" s="9">
        <v>0.48895835091007345</v>
      </c>
      <c r="G30" s="9">
        <v>0.15570768537490584</v>
      </c>
      <c r="H30" s="9">
        <v>7.5590421919127543E-2</v>
      </c>
      <c r="I30" s="9">
        <v>1.0343552303602909E-2</v>
      </c>
      <c r="J30" s="9">
        <v>5.6447925628683067E-2</v>
      </c>
    </row>
    <row r="31" spans="2:10" x14ac:dyDescent="0.3">
      <c r="B31" s="3" t="s">
        <v>5</v>
      </c>
      <c r="C31" s="9">
        <v>6.3158338124782575E-4</v>
      </c>
      <c r="D31" s="9">
        <v>6.129364640263384E-3</v>
      </c>
      <c r="E31" s="9">
        <v>5.1530355301726595E-2</v>
      </c>
      <c r="F31" s="9">
        <v>0.21475880256176583</v>
      </c>
      <c r="G31" s="9">
        <v>0.29326733157601842</v>
      </c>
      <c r="H31" s="9">
        <v>0.21637590407063098</v>
      </c>
      <c r="I31" s="9">
        <v>2.866731313454907E-2</v>
      </c>
      <c r="J31" s="9">
        <v>0.18863934533379775</v>
      </c>
    </row>
    <row r="32" spans="2:10" x14ac:dyDescent="0.3">
      <c r="B32" s="3" t="s">
        <v>6</v>
      </c>
      <c r="C32" s="9">
        <v>1.9745126340590436E-4</v>
      </c>
      <c r="D32" s="9">
        <v>2.7279945482992069E-3</v>
      </c>
      <c r="E32" s="9">
        <v>1.6146753203849066E-2</v>
      </c>
      <c r="F32" s="9">
        <v>6.7566024350611986E-2</v>
      </c>
      <c r="G32" s="9">
        <v>0.16629865149149292</v>
      </c>
      <c r="H32" s="9">
        <v>0.2819804641034051</v>
      </c>
      <c r="I32" s="9">
        <v>3.9209450758779046E-2</v>
      </c>
      <c r="J32" s="9">
        <v>0.42587321028015729</v>
      </c>
    </row>
    <row r="33" spans="2:10" x14ac:dyDescent="0.3">
      <c r="B33" s="3" t="s">
        <v>7</v>
      </c>
      <c r="C33" s="9">
        <v>7.1256604895830145E-5</v>
      </c>
      <c r="D33" s="9">
        <v>1.1537888645109203E-3</v>
      </c>
      <c r="E33" s="9">
        <v>7.4417243053108923E-3</v>
      </c>
      <c r="F33" s="9">
        <v>2.4732419415345538E-2</v>
      </c>
      <c r="G33" s="9">
        <v>6.1949213490224267E-2</v>
      </c>
      <c r="H33" s="9">
        <v>0.11932054075983373</v>
      </c>
      <c r="I33" s="9">
        <v>1.7638906291017994E-2</v>
      </c>
      <c r="J33" s="9">
        <v>0.76769215026886106</v>
      </c>
    </row>
    <row r="34" spans="2:10" x14ac:dyDescent="0.3">
      <c r="B34" s="8" t="s">
        <v>8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5</xdr:col>
                    <xdr:colOff>403860</xdr:colOff>
                    <xdr:row>21</xdr:row>
                    <xdr:rowOff>144780</xdr:rowOff>
                  </from>
                  <to>
                    <xdr:col>9</xdr:col>
                    <xdr:colOff>601980</xdr:colOff>
                    <xdr:row>24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A74B3-CB65-4470-9973-0F3FCB83F739}">
  <dimension ref="A1:J32"/>
  <sheetViews>
    <sheetView zoomScale="85" zoomScaleNormal="85" workbookViewId="0">
      <selection activeCell="L21" sqref="L21"/>
    </sheetView>
  </sheetViews>
  <sheetFormatPr defaultRowHeight="14.4" x14ac:dyDescent="0.3"/>
  <cols>
    <col min="1" max="1" width="8.88671875" style="24"/>
    <col min="2" max="2" width="11.6640625" style="24" customWidth="1"/>
    <col min="3" max="3" width="26.44140625" style="24" customWidth="1"/>
    <col min="4" max="4" width="8.88671875" style="24"/>
    <col min="5" max="5" width="11.77734375" style="24" customWidth="1"/>
    <col min="6" max="7" width="8.88671875" style="24"/>
    <col min="8" max="8" width="21.88671875" style="24" customWidth="1"/>
    <col min="9" max="16384" width="8.88671875" style="24"/>
  </cols>
  <sheetData>
    <row r="1" spans="1:8" x14ac:dyDescent="0.3">
      <c r="A1" s="13" t="s">
        <v>13</v>
      </c>
      <c r="B1" s="12"/>
      <c r="C1" s="12"/>
      <c r="D1" s="12"/>
      <c r="E1" s="12"/>
      <c r="F1" s="69"/>
      <c r="G1" s="69"/>
      <c r="H1" s="69"/>
    </row>
    <row r="2" spans="1:8" x14ac:dyDescent="0.3">
      <c r="B2" s="25" t="s">
        <v>18</v>
      </c>
      <c r="C2" s="41" t="s">
        <v>36</v>
      </c>
      <c r="F2" s="56"/>
      <c r="G2" s="56"/>
      <c r="H2" s="56"/>
    </row>
    <row r="3" spans="1:8" x14ac:dyDescent="0.3">
      <c r="B3" s="49" t="s">
        <v>19</v>
      </c>
      <c r="C3" s="71">
        <v>76.360647668853403</v>
      </c>
      <c r="F3" s="70"/>
      <c r="G3" s="56"/>
      <c r="H3" s="70"/>
    </row>
    <row r="4" spans="1:8" x14ac:dyDescent="0.3">
      <c r="B4" s="50" t="s">
        <v>20</v>
      </c>
      <c r="C4" s="72">
        <v>-0.74612842769510312</v>
      </c>
      <c r="F4" s="42"/>
      <c r="G4" s="56"/>
      <c r="H4" s="42"/>
    </row>
    <row r="5" spans="1:8" x14ac:dyDescent="0.3">
      <c r="B5" s="51" t="s">
        <v>21</v>
      </c>
      <c r="C5" s="73">
        <v>-0.25756180673141299</v>
      </c>
      <c r="F5" s="56"/>
      <c r="G5" s="56"/>
      <c r="H5" s="56"/>
    </row>
    <row r="7" spans="1:8" ht="29.4" thickBot="1" x14ac:dyDescent="0.35">
      <c r="B7" s="75" t="s">
        <v>38</v>
      </c>
      <c r="C7" s="47" t="s">
        <v>15</v>
      </c>
      <c r="D7" s="47" t="s">
        <v>16</v>
      </c>
      <c r="E7" s="47" t="s">
        <v>17</v>
      </c>
      <c r="F7" s="48" t="s">
        <v>22</v>
      </c>
      <c r="G7" s="47" t="s">
        <v>24</v>
      </c>
      <c r="H7" s="62" t="s">
        <v>44</v>
      </c>
    </row>
    <row r="8" spans="1:8" ht="15" thickTop="1" x14ac:dyDescent="0.3">
      <c r="B8" s="76">
        <v>1</v>
      </c>
      <c r="C8" s="52">
        <v>100</v>
      </c>
      <c r="D8" s="52">
        <v>15</v>
      </c>
      <c r="E8" s="52">
        <v>0</v>
      </c>
      <c r="F8" s="53">
        <f>$C$3+$C$4*C8+$C$5*D8</f>
        <v>-2.1156222016281001</v>
      </c>
      <c r="G8" s="54">
        <f>EXP(F8)/(1+EXP(F8))</f>
        <v>0.10758767263318368</v>
      </c>
      <c r="H8" s="79">
        <f>(E8*LN(G8))+((1-E8)*LN(1-G8))</f>
        <v>-0.11382700279570752</v>
      </c>
    </row>
    <row r="9" spans="1:8" x14ac:dyDescent="0.3">
      <c r="B9" s="77">
        <v>2</v>
      </c>
      <c r="C9" s="42">
        <v>105</v>
      </c>
      <c r="D9" s="42">
        <v>16</v>
      </c>
      <c r="E9" s="42">
        <v>0</v>
      </c>
      <c r="F9" s="43">
        <f t="shared" ref="F9:F30" si="0">$C$3+$C$4*C9+$C$5*D9</f>
        <v>-6.1038261468350301</v>
      </c>
      <c r="G9" s="33">
        <f t="shared" ref="G9:G30" si="1">(EXP(F9))/(1+EXP(F9))</f>
        <v>2.2293215954797335E-3</v>
      </c>
      <c r="H9" s="80">
        <f t="shared" ref="H9:H30" si="2">(E9*LN(G9))+((1-E9)*LN(1-G9))</f>
        <v>-2.2318102322034321E-3</v>
      </c>
    </row>
    <row r="10" spans="1:8" x14ac:dyDescent="0.3">
      <c r="B10" s="77">
        <v>3</v>
      </c>
      <c r="C10" s="42">
        <v>110</v>
      </c>
      <c r="D10" s="42">
        <v>17</v>
      </c>
      <c r="E10" s="42">
        <v>0</v>
      </c>
      <c r="F10" s="43">
        <f t="shared" si="0"/>
        <v>-10.092030092041959</v>
      </c>
      <c r="G10" s="33">
        <f t="shared" si="1"/>
        <v>4.1406549074091508E-5</v>
      </c>
      <c r="H10" s="80">
        <f t="shared" si="2"/>
        <v>-4.140740634895882E-5</v>
      </c>
    </row>
    <row r="11" spans="1:8" x14ac:dyDescent="0.3">
      <c r="B11" s="77">
        <v>4</v>
      </c>
      <c r="C11" s="42">
        <v>95</v>
      </c>
      <c r="D11" s="42">
        <v>14</v>
      </c>
      <c r="E11" s="42">
        <v>1</v>
      </c>
      <c r="F11" s="43">
        <f t="shared" si="0"/>
        <v>1.8725817435788294</v>
      </c>
      <c r="G11" s="33">
        <f t="shared" si="1"/>
        <v>0.86675672418044647</v>
      </c>
      <c r="H11" s="80">
        <f t="shared" si="2"/>
        <v>-0.14299693652330506</v>
      </c>
    </row>
    <row r="12" spans="1:8" x14ac:dyDescent="0.3">
      <c r="B12" s="77">
        <v>5</v>
      </c>
      <c r="C12" s="42">
        <v>100</v>
      </c>
      <c r="D12" s="42">
        <v>20</v>
      </c>
      <c r="E12" s="42">
        <v>0</v>
      </c>
      <c r="F12" s="43">
        <f t="shared" si="0"/>
        <v>-3.403431235285165</v>
      </c>
      <c r="G12" s="33">
        <f t="shared" si="1"/>
        <v>3.2188402048315162E-2</v>
      </c>
      <c r="H12" s="80">
        <f t="shared" si="2"/>
        <v>-3.2717840863679959E-2</v>
      </c>
    </row>
    <row r="13" spans="1:8" x14ac:dyDescent="0.3">
      <c r="B13" s="77">
        <v>6</v>
      </c>
      <c r="C13" s="42">
        <v>99</v>
      </c>
      <c r="D13" s="42">
        <v>12</v>
      </c>
      <c r="E13" s="42">
        <v>1</v>
      </c>
      <c r="F13" s="43">
        <f t="shared" si="0"/>
        <v>-0.59680835373876384</v>
      </c>
      <c r="G13" s="33">
        <f t="shared" si="1"/>
        <v>0.3550742311344422</v>
      </c>
      <c r="H13" s="80">
        <f t="shared" si="2"/>
        <v>-1.0354284095782917</v>
      </c>
    </row>
    <row r="14" spans="1:8" x14ac:dyDescent="0.3">
      <c r="B14" s="77">
        <v>7</v>
      </c>
      <c r="C14" s="42">
        <v>95</v>
      </c>
      <c r="D14" s="42">
        <v>10</v>
      </c>
      <c r="E14" s="42">
        <v>1</v>
      </c>
      <c r="F14" s="43">
        <f t="shared" si="0"/>
        <v>2.9028289705044816</v>
      </c>
      <c r="G14" s="33">
        <f t="shared" si="1"/>
        <v>0.94798610598395594</v>
      </c>
      <c r="H14" s="80">
        <f t="shared" si="2"/>
        <v>-5.3415432969585015E-2</v>
      </c>
    </row>
    <row r="15" spans="1:8" x14ac:dyDescent="0.3">
      <c r="B15" s="77">
        <v>8</v>
      </c>
      <c r="C15" s="42">
        <v>110</v>
      </c>
      <c r="D15" s="42">
        <v>16</v>
      </c>
      <c r="E15" s="42">
        <v>0</v>
      </c>
      <c r="F15" s="43">
        <f t="shared" si="0"/>
        <v>-9.8344682853105461</v>
      </c>
      <c r="G15" s="33">
        <f t="shared" si="1"/>
        <v>5.3569972751797049E-5</v>
      </c>
      <c r="H15" s="80">
        <f t="shared" si="2"/>
        <v>-5.3571407673979948E-5</v>
      </c>
    </row>
    <row r="16" spans="1:8" x14ac:dyDescent="0.3">
      <c r="B16" s="77">
        <v>9</v>
      </c>
      <c r="C16" s="42">
        <v>105</v>
      </c>
      <c r="D16" s="42">
        <v>17</v>
      </c>
      <c r="E16" s="42">
        <v>0</v>
      </c>
      <c r="F16" s="43">
        <f t="shared" si="0"/>
        <v>-6.3613879535664433</v>
      </c>
      <c r="G16" s="33">
        <f t="shared" si="1"/>
        <v>1.7239908189880186E-3</v>
      </c>
      <c r="H16" s="80">
        <f t="shared" si="2"/>
        <v>-1.7254786013546225E-3</v>
      </c>
    </row>
    <row r="17" spans="2:10" x14ac:dyDescent="0.3">
      <c r="B17" s="77">
        <v>10</v>
      </c>
      <c r="C17" s="42">
        <v>120</v>
      </c>
      <c r="D17" s="42">
        <v>17</v>
      </c>
      <c r="E17" s="42">
        <v>0</v>
      </c>
      <c r="F17" s="43">
        <f t="shared" si="0"/>
        <v>-17.553314368992993</v>
      </c>
      <c r="G17" s="33">
        <f t="shared" si="1"/>
        <v>2.3806328391784744E-8</v>
      </c>
      <c r="H17" s="80">
        <f t="shared" si="2"/>
        <v>-2.3806328636452692E-8</v>
      </c>
    </row>
    <row r="18" spans="2:10" x14ac:dyDescent="0.3">
      <c r="B18" s="77">
        <v>11</v>
      </c>
      <c r="C18" s="42">
        <v>100</v>
      </c>
      <c r="D18" s="42">
        <v>5</v>
      </c>
      <c r="E18" s="42">
        <v>1</v>
      </c>
      <c r="F18" s="43">
        <f t="shared" si="0"/>
        <v>0.45999586568602968</v>
      </c>
      <c r="G18" s="33">
        <f t="shared" si="1"/>
        <v>0.61301319536468613</v>
      </c>
      <c r="H18" s="80">
        <f t="shared" si="2"/>
        <v>-0.48936881739720256</v>
      </c>
    </row>
    <row r="19" spans="2:10" x14ac:dyDescent="0.3">
      <c r="B19" s="77">
        <v>12</v>
      </c>
      <c r="C19" s="42">
        <v>105</v>
      </c>
      <c r="D19" s="42">
        <v>6</v>
      </c>
      <c r="E19" s="42">
        <v>0</v>
      </c>
      <c r="F19" s="43">
        <f t="shared" si="0"/>
        <v>-3.5282080795209003</v>
      </c>
      <c r="G19" s="33">
        <f t="shared" si="1"/>
        <v>2.8520194135785194E-2</v>
      </c>
      <c r="H19" s="80">
        <f t="shared" si="2"/>
        <v>-2.893479693321804E-2</v>
      </c>
    </row>
    <row r="20" spans="2:10" x14ac:dyDescent="0.3">
      <c r="B20" s="77">
        <v>13</v>
      </c>
      <c r="C20" s="42">
        <v>115</v>
      </c>
      <c r="D20" s="42">
        <v>18</v>
      </c>
      <c r="E20" s="42">
        <v>0</v>
      </c>
      <c r="F20" s="43">
        <f t="shared" si="0"/>
        <v>-14.080234037248889</v>
      </c>
      <c r="G20" s="33">
        <f t="shared" si="1"/>
        <v>7.6741753871826873E-7</v>
      </c>
      <c r="H20" s="80">
        <f t="shared" si="2"/>
        <v>-7.6741783320342529E-7</v>
      </c>
    </row>
    <row r="21" spans="2:10" x14ac:dyDescent="0.3">
      <c r="B21" s="77">
        <v>14</v>
      </c>
      <c r="C21" s="42">
        <v>97</v>
      </c>
      <c r="D21" s="42">
        <v>17</v>
      </c>
      <c r="E21" s="42">
        <v>1</v>
      </c>
      <c r="F21" s="43">
        <f t="shared" si="0"/>
        <v>-0.39236053200561916</v>
      </c>
      <c r="G21" s="33">
        <f t="shared" si="1"/>
        <v>0.40314918006435252</v>
      </c>
      <c r="H21" s="80">
        <f t="shared" si="2"/>
        <v>-0.90844861167593871</v>
      </c>
    </row>
    <row r="22" spans="2:10" x14ac:dyDescent="0.3">
      <c r="B22" s="77">
        <v>15</v>
      </c>
      <c r="C22" s="42">
        <v>90</v>
      </c>
      <c r="D22" s="42">
        <v>-5</v>
      </c>
      <c r="E22" s="42">
        <v>1</v>
      </c>
      <c r="F22" s="43">
        <f t="shared" si="0"/>
        <v>10.496898209951194</v>
      </c>
      <c r="G22" s="33">
        <f t="shared" si="1"/>
        <v>0.99997237876871659</v>
      </c>
      <c r="H22" s="80">
        <f t="shared" si="2"/>
        <v>-2.7621612756647867E-5</v>
      </c>
    </row>
    <row r="23" spans="2:10" x14ac:dyDescent="0.3">
      <c r="B23" s="77">
        <v>16</v>
      </c>
      <c r="C23" s="42">
        <v>99</v>
      </c>
      <c r="D23" s="42">
        <v>6</v>
      </c>
      <c r="E23" s="42">
        <v>0</v>
      </c>
      <c r="F23" s="43">
        <f t="shared" si="0"/>
        <v>0.94856248664971421</v>
      </c>
      <c r="G23" s="33">
        <f t="shared" si="1"/>
        <v>0.72082599060565644</v>
      </c>
      <c r="H23" s="80">
        <f t="shared" si="2"/>
        <v>-1.2759200019888286</v>
      </c>
    </row>
    <row r="24" spans="2:10" x14ac:dyDescent="0.3">
      <c r="B24" s="77">
        <v>17</v>
      </c>
      <c r="C24" s="42">
        <v>99</v>
      </c>
      <c r="D24" s="42">
        <v>2</v>
      </c>
      <c r="E24" s="42">
        <v>1</v>
      </c>
      <c r="F24" s="43">
        <f t="shared" si="0"/>
        <v>1.9788097135753664</v>
      </c>
      <c r="G24" s="33">
        <f t="shared" si="1"/>
        <v>0.87855421968512992</v>
      </c>
      <c r="H24" s="80">
        <f t="shared" si="2"/>
        <v>-0.12947765477898007</v>
      </c>
    </row>
    <row r="25" spans="2:10" x14ac:dyDescent="0.3">
      <c r="B25" s="77">
        <v>18</v>
      </c>
      <c r="C25" s="42">
        <v>116</v>
      </c>
      <c r="D25" s="42">
        <v>19</v>
      </c>
      <c r="E25" s="42">
        <v>0</v>
      </c>
      <c r="F25" s="43">
        <f t="shared" si="0"/>
        <v>-15.0839242716754</v>
      </c>
      <c r="G25" s="33">
        <f t="shared" si="1"/>
        <v>2.8127737552829921E-7</v>
      </c>
      <c r="H25" s="80">
        <f t="shared" si="2"/>
        <v>-2.8127741506080853E-7</v>
      </c>
    </row>
    <row r="26" spans="2:10" x14ac:dyDescent="0.3">
      <c r="B26" s="77">
        <v>19</v>
      </c>
      <c r="C26" s="42">
        <v>95</v>
      </c>
      <c r="D26" s="42">
        <v>23</v>
      </c>
      <c r="E26" s="42">
        <v>0</v>
      </c>
      <c r="F26" s="43">
        <f t="shared" si="0"/>
        <v>-0.44547451700388763</v>
      </c>
      <c r="G26" s="33">
        <f t="shared" si="1"/>
        <v>0.3904372773486548</v>
      </c>
      <c r="H26" s="80">
        <f t="shared" si="2"/>
        <v>-0.49501342698579254</v>
      </c>
    </row>
    <row r="27" spans="2:10" x14ac:dyDescent="0.3">
      <c r="B27" s="77">
        <v>20</v>
      </c>
      <c r="C27" s="42">
        <v>98</v>
      </c>
      <c r="D27" s="42">
        <v>10</v>
      </c>
      <c r="E27" s="42">
        <v>0</v>
      </c>
      <c r="F27" s="43">
        <f t="shared" si="0"/>
        <v>0.66444368741916016</v>
      </c>
      <c r="G27" s="33">
        <f t="shared" si="1"/>
        <v>0.66025789361104503</v>
      </c>
      <c r="H27" s="80">
        <f t="shared" si="2"/>
        <v>-1.0795684598073811</v>
      </c>
    </row>
    <row r="28" spans="2:10" x14ac:dyDescent="0.3">
      <c r="B28" s="77">
        <v>21</v>
      </c>
      <c r="C28" s="42">
        <v>102</v>
      </c>
      <c r="D28" s="42">
        <v>13</v>
      </c>
      <c r="E28" s="42">
        <v>0</v>
      </c>
      <c r="F28" s="43">
        <f t="shared" si="0"/>
        <v>-3.0927554435554838</v>
      </c>
      <c r="G28" s="33">
        <f t="shared" si="1"/>
        <v>4.340707688614049E-2</v>
      </c>
      <c r="H28" s="80">
        <f t="shared" si="2"/>
        <v>-4.4377345720801417E-2</v>
      </c>
    </row>
    <row r="29" spans="2:10" x14ac:dyDescent="0.3">
      <c r="B29" s="77">
        <v>22</v>
      </c>
      <c r="C29" s="42">
        <v>112</v>
      </c>
      <c r="D29" s="42">
        <v>19</v>
      </c>
      <c r="E29" s="42">
        <v>0</v>
      </c>
      <c r="F29" s="43">
        <f t="shared" si="0"/>
        <v>-12.099410560894995</v>
      </c>
      <c r="G29" s="33">
        <f t="shared" si="1"/>
        <v>5.5627602576698875E-6</v>
      </c>
      <c r="H29" s="80">
        <f t="shared" si="2"/>
        <v>-5.5627757298573454E-6</v>
      </c>
    </row>
    <row r="30" spans="2:10" x14ac:dyDescent="0.3">
      <c r="B30" s="78">
        <v>23</v>
      </c>
      <c r="C30" s="44">
        <v>95</v>
      </c>
      <c r="D30" s="44">
        <v>10</v>
      </c>
      <c r="E30" s="44">
        <v>1</v>
      </c>
      <c r="F30" s="45">
        <f t="shared" si="0"/>
        <v>2.9028289705044816</v>
      </c>
      <c r="G30" s="46">
        <f t="shared" si="1"/>
        <v>0.94798610598395594</v>
      </c>
      <c r="H30" s="55">
        <f t="shared" si="2"/>
        <v>-5.3415432969585015E-2</v>
      </c>
    </row>
    <row r="31" spans="2:10" x14ac:dyDescent="0.3">
      <c r="F31" s="40"/>
      <c r="H31" s="74">
        <f>SUM(H8:H30)</f>
        <v>-5.8869966955259416</v>
      </c>
      <c r="J31" s="24" t="s">
        <v>45</v>
      </c>
    </row>
    <row r="32" spans="2:10" x14ac:dyDescent="0.3">
      <c r="H32" s="5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8E47A-911D-4ADE-ACD4-99A4C30F97F1}">
  <dimension ref="A1:G19"/>
  <sheetViews>
    <sheetView workbookViewId="0">
      <selection activeCell="E6" sqref="E6"/>
    </sheetView>
  </sheetViews>
  <sheetFormatPr defaultRowHeight="14.4" x14ac:dyDescent="0.3"/>
  <cols>
    <col min="1" max="2" width="8.88671875" style="24"/>
    <col min="3" max="3" width="21.33203125" style="24" customWidth="1"/>
    <col min="4" max="4" width="13.21875" style="24" customWidth="1"/>
    <col min="5" max="16384" width="8.88671875" style="24"/>
  </cols>
  <sheetData>
    <row r="1" spans="1:7" x14ac:dyDescent="0.3">
      <c r="A1" s="13" t="s">
        <v>29</v>
      </c>
      <c r="B1" s="13"/>
      <c r="C1" s="13"/>
      <c r="D1" s="13"/>
      <c r="E1" s="13"/>
      <c r="F1" s="13"/>
      <c r="G1" s="13"/>
    </row>
    <row r="2" spans="1:7" x14ac:dyDescent="0.3">
      <c r="A2" s="32"/>
      <c r="B2" s="32"/>
      <c r="C2" s="32"/>
      <c r="D2" s="32"/>
      <c r="E2" s="32"/>
      <c r="F2" s="32"/>
      <c r="G2" s="32"/>
    </row>
    <row r="3" spans="1:7" x14ac:dyDescent="0.3">
      <c r="A3" s="67" t="s">
        <v>30</v>
      </c>
      <c r="B3" s="18"/>
      <c r="C3" s="18"/>
      <c r="D3" s="18"/>
      <c r="E3" s="18"/>
      <c r="F3" s="18"/>
      <c r="G3" s="18"/>
    </row>
    <row r="4" spans="1:7" x14ac:dyDescent="0.3">
      <c r="B4" s="25" t="s">
        <v>18</v>
      </c>
    </row>
    <row r="5" spans="1:7" x14ac:dyDescent="0.3">
      <c r="B5" s="65" t="s">
        <v>19</v>
      </c>
      <c r="C5" s="27">
        <f>Exercise_02!C3</f>
        <v>76.360647668853403</v>
      </c>
    </row>
    <row r="6" spans="1:7" x14ac:dyDescent="0.3">
      <c r="B6" s="66" t="s">
        <v>20</v>
      </c>
      <c r="C6" s="29">
        <f>Exercise_02!C4</f>
        <v>-0.74612842769510312</v>
      </c>
    </row>
    <row r="7" spans="1:7" x14ac:dyDescent="0.3">
      <c r="B7" s="63" t="s">
        <v>21</v>
      </c>
      <c r="C7" s="31">
        <f>Exercise_02!C5</f>
        <v>-0.25756180673141299</v>
      </c>
    </row>
    <row r="8" spans="1:7" x14ac:dyDescent="0.3">
      <c r="B8" s="56"/>
      <c r="C8" s="64"/>
    </row>
    <row r="9" spans="1:7" x14ac:dyDescent="0.3">
      <c r="B9" s="32" t="s">
        <v>37</v>
      </c>
    </row>
    <row r="10" spans="1:7" ht="29.4" thickBot="1" x14ac:dyDescent="0.35">
      <c r="B10" s="60" t="s">
        <v>14</v>
      </c>
      <c r="C10" s="62" t="s">
        <v>15</v>
      </c>
      <c r="D10" s="62" t="s">
        <v>16</v>
      </c>
      <c r="E10" s="62" t="s">
        <v>22</v>
      </c>
      <c r="F10" s="58" t="s">
        <v>24</v>
      </c>
    </row>
    <row r="11" spans="1:7" ht="15" thickTop="1" x14ac:dyDescent="0.3">
      <c r="B11" s="61" t="s">
        <v>23</v>
      </c>
      <c r="C11" s="61">
        <v>105</v>
      </c>
      <c r="D11" s="61">
        <v>8</v>
      </c>
      <c r="E11" s="55">
        <f>$C$5+$C$6*C11+$C$7*D11</f>
        <v>-4.0433316929837257</v>
      </c>
      <c r="F11" s="59">
        <f>EXP(E11)/(1+EXP(E11))</f>
        <v>1.7236628397805265E-2</v>
      </c>
    </row>
    <row r="12" spans="1:7" x14ac:dyDescent="0.3">
      <c r="B12" s="42"/>
      <c r="C12" s="42"/>
      <c r="D12" s="42"/>
      <c r="E12" s="33"/>
      <c r="F12" s="34"/>
    </row>
    <row r="14" spans="1:7" x14ac:dyDescent="0.3">
      <c r="A14" s="67" t="s">
        <v>31</v>
      </c>
      <c r="B14" s="18"/>
      <c r="C14" s="18"/>
      <c r="D14" s="18"/>
      <c r="E14" s="18"/>
      <c r="F14" s="18"/>
      <c r="G14" s="18"/>
    </row>
    <row r="16" spans="1:7" x14ac:dyDescent="0.3">
      <c r="B16" s="26" t="s">
        <v>25</v>
      </c>
      <c r="C16" s="35">
        <v>0.15</v>
      </c>
    </row>
    <row r="17" spans="2:3" x14ac:dyDescent="0.3">
      <c r="B17" s="28" t="s">
        <v>26</v>
      </c>
      <c r="C17" s="36">
        <v>0.08</v>
      </c>
    </row>
    <row r="18" spans="2:3" x14ac:dyDescent="0.3">
      <c r="B18" s="30" t="s">
        <v>27</v>
      </c>
      <c r="C18" s="37">
        <v>0.6</v>
      </c>
    </row>
    <row r="19" spans="2:3" x14ac:dyDescent="0.3">
      <c r="B19" s="38" t="s">
        <v>28</v>
      </c>
      <c r="C19" s="39">
        <f>$C$16*$C$17+$F$11*$C$18</f>
        <v>2.234197703868316E-2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</vt:lpstr>
      <vt:lpstr>Exercise_01</vt:lpstr>
      <vt:lpstr>Exercise_02</vt:lpstr>
      <vt:lpstr>Exercise_03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Gonçalo Ganhão</dc:creator>
  <cp:lastModifiedBy>Thomas</cp:lastModifiedBy>
  <dcterms:created xsi:type="dcterms:W3CDTF">2015-06-05T18:17:20Z</dcterms:created>
  <dcterms:modified xsi:type="dcterms:W3CDTF">2021-04-13T12:46:33Z</dcterms:modified>
</cp:coreProperties>
</file>